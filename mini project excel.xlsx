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90836eabc89449/Documents/"/>
    </mc:Choice>
  </mc:AlternateContent>
  <xr:revisionPtr revIDLastSave="0" documentId="8_{A2B69CE8-8A2F-4B8E-B619-4650CF42FEB8}" xr6:coauthVersionLast="47" xr6:coauthVersionMax="47" xr10:uidLastSave="{00000000-0000-0000-0000-000000000000}"/>
  <bookViews>
    <workbookView xWindow="-108" yWindow="-108" windowWidth="23256" windowHeight="13176" activeTab="4" xr2:uid="{F752DE8D-78FB-43FF-94E5-8ED3CCC93DA0}"/>
  </bookViews>
  <sheets>
    <sheet name="Transactions" sheetId="1" r:id="rId1"/>
    <sheet name="summary" sheetId="3" r:id="rId2"/>
    <sheet name="budget" sheetId="4" r:id="rId3"/>
    <sheet name="extra quiries" sheetId="6" r:id="rId4"/>
    <sheet name="lookup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6" l="1"/>
  <c r="B3" i="4"/>
  <c r="B4" i="4"/>
  <c r="B5" i="4"/>
  <c r="B6" i="4"/>
  <c r="B7" i="4"/>
  <c r="D7" i="4" s="1"/>
  <c r="B2" i="4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C2" i="4"/>
  <c r="C3" i="4"/>
  <c r="C4" i="4"/>
  <c r="D4" i="4" s="1"/>
  <c r="C5" i="4"/>
  <c r="D5" i="4" s="1"/>
  <c r="C6" i="4"/>
  <c r="C7" i="4"/>
  <c r="B2" i="3"/>
  <c r="B4" i="3" s="1"/>
  <c r="B3" i="3"/>
  <c r="B5" i="3"/>
  <c r="B6" i="3"/>
  <c r="B7" i="3"/>
  <c r="B8" i="3"/>
  <c r="D3" i="4" l="1"/>
  <c r="E7" i="4"/>
  <c r="D6" i="4"/>
  <c r="D2" i="4"/>
  <c r="E4" i="4"/>
  <c r="E6" i="4"/>
  <c r="E2" i="4"/>
  <c r="E5" i="4"/>
  <c r="E3" i="4"/>
  <c r="B9" i="3"/>
</calcChain>
</file>

<file path=xl/sharedStrings.xml><?xml version="1.0" encoding="utf-8"?>
<sst xmlns="http://schemas.openxmlformats.org/spreadsheetml/2006/main" count="149" uniqueCount="69">
  <si>
    <t>Date</t>
  </si>
  <si>
    <t>Description</t>
  </si>
  <si>
    <t>Category</t>
  </si>
  <si>
    <t>Type</t>
  </si>
  <si>
    <t>Amount</t>
  </si>
  <si>
    <t>Lunch</t>
  </si>
  <si>
    <t>Food</t>
  </si>
  <si>
    <t>Expense</t>
  </si>
  <si>
    <t>Bus</t>
  </si>
  <si>
    <t>Travel</t>
  </si>
  <si>
    <t>Salary</t>
  </si>
  <si>
    <t>Income</t>
  </si>
  <si>
    <t>Groceries</t>
  </si>
  <si>
    <t>Movie</t>
  </si>
  <si>
    <t>Entertainment</t>
  </si>
  <si>
    <t>Freelance</t>
  </si>
  <si>
    <t>Shopping</t>
  </si>
  <si>
    <t>Rent</t>
  </si>
  <si>
    <t>Electricity</t>
  </si>
  <si>
    <t>Bills</t>
  </si>
  <si>
    <t>Snacks</t>
  </si>
  <si>
    <t>Total Income</t>
  </si>
  <si>
    <t>Total Expense</t>
  </si>
  <si>
    <t>Net Balance</t>
  </si>
  <si>
    <t>Metric</t>
  </si>
  <si>
    <t>Value</t>
  </si>
  <si>
    <t>Total Transactions</t>
  </si>
  <si>
    <t>Highest Expense</t>
  </si>
  <si>
    <t>Lowest Expense</t>
  </si>
  <si>
    <t>Budget</t>
  </si>
  <si>
    <t>Actual</t>
  </si>
  <si>
    <t>Difference</t>
  </si>
  <si>
    <t>Status</t>
  </si>
  <si>
    <t>Query</t>
  </si>
  <si>
    <t>Food Expense</t>
  </si>
  <si>
    <t>Travel Expense</t>
  </si>
  <si>
    <t>Shopping Expense</t>
  </si>
  <si>
    <t>Income Total</t>
  </si>
  <si>
    <t>Expense Total</t>
  </si>
  <si>
    <t>Savings %</t>
  </si>
  <si>
    <t>Top Expense</t>
  </si>
  <si>
    <t>Min Expense</t>
  </si>
  <si>
    <t>Transaction Count</t>
  </si>
  <si>
    <t>Food Transactions</t>
  </si>
  <si>
    <t>Expense Days</t>
  </si>
  <si>
    <t>Income Days</t>
  </si>
  <si>
    <t>Average Expense</t>
  </si>
  <si>
    <t>Total Rent</t>
  </si>
  <si>
    <t>Total Bills</t>
  </si>
  <si>
    <t>Uber</t>
  </si>
  <si>
    <t>Coffee</t>
  </si>
  <si>
    <t>Internet Bill</t>
  </si>
  <si>
    <t>T-shirt</t>
  </si>
  <si>
    <t>Part-time</t>
  </si>
  <si>
    <t>Dinner</t>
  </si>
  <si>
    <t>Train Ticket</t>
  </si>
  <si>
    <t>Netflix</t>
  </si>
  <si>
    <t>Shoes</t>
  </si>
  <si>
    <t>Bonus</t>
  </si>
  <si>
    <t>Auto</t>
  </si>
  <si>
    <t>Phone Recharge</t>
  </si>
  <si>
    <t>Jacket</t>
  </si>
  <si>
    <t>Result</t>
  </si>
  <si>
    <t>Limit</t>
  </si>
  <si>
    <t>Jan</t>
  </si>
  <si>
    <t>Feb</t>
  </si>
  <si>
    <t>Mar</t>
  </si>
  <si>
    <t>Apr</t>
  </si>
  <si>
    <t>April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</si>
</sst>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3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7222222222222221E-2"/>
          <c:y val="0.15782407407407409"/>
          <c:w val="0.93888888888888888"/>
          <c:h val="0.20964895013123361"/>
        </c:manualLayout>
      </c:layout>
      <c:pie3DChart>
        <c:varyColors val="1"/>
        <c:ser>
          <c:idx val="0"/>
          <c:order val="0"/>
          <c:tx>
            <c:strRef>
              <c:f>Transactions!$E$1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Transactions!$A$2:$D$31</c:f>
              <c:multiLvlStrCache>
                <c:ptCount val="30"/>
                <c:lvl>
                  <c:pt idx="0">
                    <c:v>Expense</c:v>
                  </c:pt>
                  <c:pt idx="1">
                    <c:v>Expense</c:v>
                  </c:pt>
                  <c:pt idx="2">
                    <c:v>Income</c:v>
                  </c:pt>
                  <c:pt idx="3">
                    <c:v>Expense</c:v>
                  </c:pt>
                  <c:pt idx="4">
                    <c:v>Expense</c:v>
                  </c:pt>
                  <c:pt idx="5">
                    <c:v>Income</c:v>
                  </c:pt>
                  <c:pt idx="6">
                    <c:v>Expense</c:v>
                  </c:pt>
                  <c:pt idx="7">
                    <c:v>Expense</c:v>
                  </c:pt>
                  <c:pt idx="8">
                    <c:v>Expense</c:v>
                  </c:pt>
                  <c:pt idx="9">
                    <c:v>Expense</c:v>
                  </c:pt>
                  <c:pt idx="10">
                    <c:v>Expense</c:v>
                  </c:pt>
                  <c:pt idx="11">
                    <c:v>Expense</c:v>
                  </c:pt>
                  <c:pt idx="12">
                    <c:v>Expense</c:v>
                  </c:pt>
                  <c:pt idx="13">
                    <c:v>Expense</c:v>
                  </c:pt>
                  <c:pt idx="14">
                    <c:v>Income</c:v>
                  </c:pt>
                  <c:pt idx="15">
                    <c:v>Expense</c:v>
                  </c:pt>
                  <c:pt idx="16">
                    <c:v>Expense</c:v>
                  </c:pt>
                  <c:pt idx="17">
                    <c:v>Expense</c:v>
                  </c:pt>
                  <c:pt idx="18">
                    <c:v>Expense</c:v>
                  </c:pt>
                  <c:pt idx="19">
                    <c:v>Expense</c:v>
                  </c:pt>
                  <c:pt idx="20">
                    <c:v>Income</c:v>
                  </c:pt>
                  <c:pt idx="21">
                    <c:v>Expense</c:v>
                  </c:pt>
                  <c:pt idx="22">
                    <c:v>Expense</c:v>
                  </c:pt>
                  <c:pt idx="23">
                    <c:v>Expense</c:v>
                  </c:pt>
                  <c:pt idx="24">
                    <c:v>Expense</c:v>
                  </c:pt>
                  <c:pt idx="25">
                    <c:v>Expense</c:v>
                  </c:pt>
                  <c:pt idx="26">
                    <c:v>Expense</c:v>
                  </c:pt>
                  <c:pt idx="27">
                    <c:v>Expense</c:v>
                  </c:pt>
                  <c:pt idx="28">
                    <c:v>Expense</c:v>
                  </c:pt>
                  <c:pt idx="29">
                    <c:v>Income</c:v>
                  </c:pt>
                </c:lvl>
                <c:lvl>
                  <c:pt idx="0">
                    <c:v>Food</c:v>
                  </c:pt>
                  <c:pt idx="1">
                    <c:v>Travel</c:v>
                  </c:pt>
                  <c:pt idx="2">
                    <c:v>Income</c:v>
                  </c:pt>
                  <c:pt idx="3">
                    <c:v>Food</c:v>
                  </c:pt>
                  <c:pt idx="4">
                    <c:v>Entertainment</c:v>
                  </c:pt>
                  <c:pt idx="5">
                    <c:v>Income</c:v>
                  </c:pt>
                  <c:pt idx="6">
                    <c:v>Shopping</c:v>
                  </c:pt>
                  <c:pt idx="7">
                    <c:v>Rent</c:v>
                  </c:pt>
                  <c:pt idx="8">
                    <c:v>Bills</c:v>
                  </c:pt>
                  <c:pt idx="9">
                    <c:v>Food</c:v>
                  </c:pt>
                  <c:pt idx="10">
                    <c:v>Travel</c:v>
                  </c:pt>
                  <c:pt idx="11">
                    <c:v>Food</c:v>
                  </c:pt>
                  <c:pt idx="12">
                    <c:v>Bills</c:v>
                  </c:pt>
                  <c:pt idx="13">
                    <c:v>Shopping</c:v>
                  </c:pt>
                  <c:pt idx="14">
                    <c:v>Income</c:v>
                  </c:pt>
                  <c:pt idx="15">
                    <c:v>Food</c:v>
                  </c:pt>
                  <c:pt idx="16">
                    <c:v>Travel</c:v>
                  </c:pt>
                  <c:pt idx="17">
                    <c:v>Bills</c:v>
                  </c:pt>
                  <c:pt idx="18">
                    <c:v>Shopping</c:v>
                  </c:pt>
                  <c:pt idx="19">
                    <c:v>Food</c:v>
                  </c:pt>
                  <c:pt idx="20">
                    <c:v>Income</c:v>
                  </c:pt>
                  <c:pt idx="21">
                    <c:v>Food</c:v>
                  </c:pt>
                  <c:pt idx="22">
                    <c:v>Travel</c:v>
                  </c:pt>
                  <c:pt idx="23">
                    <c:v>Bills</c:v>
                  </c:pt>
                  <c:pt idx="24">
                    <c:v>Entertainment</c:v>
                  </c:pt>
                  <c:pt idx="25">
                    <c:v>Food</c:v>
                  </c:pt>
                  <c:pt idx="26">
                    <c:v>Travel</c:v>
                  </c:pt>
                  <c:pt idx="27">
                    <c:v>Shopping</c:v>
                  </c:pt>
                  <c:pt idx="28">
                    <c:v>Food</c:v>
                  </c:pt>
                  <c:pt idx="29">
                    <c:v>Income</c:v>
                  </c:pt>
                </c:lvl>
                <c:lvl>
                  <c:pt idx="0">
                    <c:v>Lunch</c:v>
                  </c:pt>
                  <c:pt idx="1">
                    <c:v>Bus</c:v>
                  </c:pt>
                  <c:pt idx="2">
                    <c:v>Salary</c:v>
                  </c:pt>
                  <c:pt idx="3">
                    <c:v>Groceries</c:v>
                  </c:pt>
                  <c:pt idx="4">
                    <c:v>Movie</c:v>
                  </c:pt>
                  <c:pt idx="5">
                    <c:v>Freelance</c:v>
                  </c:pt>
                  <c:pt idx="6">
                    <c:v>Shopping</c:v>
                  </c:pt>
                  <c:pt idx="7">
                    <c:v>Rent</c:v>
                  </c:pt>
                  <c:pt idx="8">
                    <c:v>Electricity</c:v>
                  </c:pt>
                  <c:pt idx="9">
                    <c:v>Snacks</c:v>
                  </c:pt>
                  <c:pt idx="10">
                    <c:v>Uber</c:v>
                  </c:pt>
                  <c:pt idx="11">
                    <c:v>Coffee</c:v>
                  </c:pt>
                  <c:pt idx="12">
                    <c:v>Internet Bill</c:v>
                  </c:pt>
                  <c:pt idx="13">
                    <c:v>T-shirt</c:v>
                  </c:pt>
                  <c:pt idx="14">
                    <c:v>Part-time</c:v>
                  </c:pt>
                  <c:pt idx="15">
                    <c:v>Dinner</c:v>
                  </c:pt>
                  <c:pt idx="16">
                    <c:v>Train Ticket</c:v>
                  </c:pt>
                  <c:pt idx="17">
                    <c:v>Netflix</c:v>
                  </c:pt>
                  <c:pt idx="18">
                    <c:v>Shoes</c:v>
                  </c:pt>
                  <c:pt idx="19">
                    <c:v>Lunch</c:v>
                  </c:pt>
                  <c:pt idx="20">
                    <c:v>Bonus</c:v>
                  </c:pt>
                  <c:pt idx="21">
                    <c:v>Groceries</c:v>
                  </c:pt>
                  <c:pt idx="22">
                    <c:v>Auto</c:v>
                  </c:pt>
                  <c:pt idx="23">
                    <c:v>Phone Recharge</c:v>
                  </c:pt>
                  <c:pt idx="24">
                    <c:v>Movie</c:v>
                  </c:pt>
                  <c:pt idx="25">
                    <c:v>Lunch</c:v>
                  </c:pt>
                  <c:pt idx="26">
                    <c:v>Bus</c:v>
                  </c:pt>
                  <c:pt idx="27">
                    <c:v>Jacket</c:v>
                  </c:pt>
                  <c:pt idx="28">
                    <c:v>Dinner</c:v>
                  </c:pt>
                  <c:pt idx="29">
                    <c:v>Freelance</c:v>
                  </c:pt>
                </c:lvl>
                <c:lvl>
                  <c:pt idx="0">
                    <c:v>01-04-2026</c:v>
                  </c:pt>
                  <c:pt idx="1">
                    <c:v>02-04-2026</c:v>
                  </c:pt>
                  <c:pt idx="2">
                    <c:v>03-04-2026</c:v>
                  </c:pt>
                  <c:pt idx="3">
                    <c:v>04-04-2026</c:v>
                  </c:pt>
                  <c:pt idx="4">
                    <c:v>05-04-2026</c:v>
                  </c:pt>
                  <c:pt idx="5">
                    <c:v>06-04-2026</c:v>
                  </c:pt>
                  <c:pt idx="6">
                    <c:v>07-04-2026</c:v>
                  </c:pt>
                  <c:pt idx="7">
                    <c:v>08-04-2026</c:v>
                  </c:pt>
                  <c:pt idx="8">
                    <c:v>09-04-2026</c:v>
                  </c:pt>
                  <c:pt idx="9">
                    <c:v>10-04-2026</c:v>
                  </c:pt>
                  <c:pt idx="10">
                    <c:v>11-04-2026</c:v>
                  </c:pt>
                  <c:pt idx="11">
                    <c:v>12-04-2026</c:v>
                  </c:pt>
                  <c:pt idx="12">
                    <c:v>13-04-2026</c:v>
                  </c:pt>
                  <c:pt idx="13">
                    <c:v>14-04-2026</c:v>
                  </c:pt>
                  <c:pt idx="14">
                    <c:v>15-04-2026</c:v>
                  </c:pt>
                  <c:pt idx="15">
                    <c:v>16-04-2026</c:v>
                  </c:pt>
                  <c:pt idx="16">
                    <c:v>17-04-2026</c:v>
                  </c:pt>
                  <c:pt idx="17">
                    <c:v>18-04-2026</c:v>
                  </c:pt>
                  <c:pt idx="18">
                    <c:v>19-04-2026</c:v>
                  </c:pt>
                  <c:pt idx="19">
                    <c:v>20-04-2026</c:v>
                  </c:pt>
                  <c:pt idx="20">
                    <c:v>21-04-2026</c:v>
                  </c:pt>
                  <c:pt idx="21">
                    <c:v>22-04-2026</c:v>
                  </c:pt>
                  <c:pt idx="22">
                    <c:v>23-04-2026</c:v>
                  </c:pt>
                  <c:pt idx="23">
                    <c:v>24-04-2026</c:v>
                  </c:pt>
                  <c:pt idx="24">
                    <c:v>25-04-2026</c:v>
                  </c:pt>
                  <c:pt idx="25">
                    <c:v>26-04-2026</c:v>
                  </c:pt>
                  <c:pt idx="26">
                    <c:v>27-04-2026</c:v>
                  </c:pt>
                  <c:pt idx="27">
                    <c:v>28-04-2026</c:v>
                  </c:pt>
                  <c:pt idx="28">
                    <c:v>29-04-2026</c:v>
                  </c:pt>
                  <c:pt idx="29">
                    <c:v>30-04-2026</c:v>
                  </c:pt>
                </c:lvl>
              </c:multiLvlStrCache>
            </c:multiLvlStrRef>
          </c:cat>
          <c:val>
            <c:numRef>
              <c:f>Transactions!$E$2:$E$31</c:f>
              <c:numCache>
                <c:formatCode>General</c:formatCode>
                <c:ptCount val="30"/>
                <c:pt idx="0">
                  <c:v>120</c:v>
                </c:pt>
                <c:pt idx="1">
                  <c:v>50</c:v>
                </c:pt>
                <c:pt idx="2">
                  <c:v>15000</c:v>
                </c:pt>
                <c:pt idx="3">
                  <c:v>800</c:v>
                </c:pt>
                <c:pt idx="4">
                  <c:v>300</c:v>
                </c:pt>
                <c:pt idx="5">
                  <c:v>2000</c:v>
                </c:pt>
                <c:pt idx="6">
                  <c:v>1200</c:v>
                </c:pt>
                <c:pt idx="7">
                  <c:v>5000</c:v>
                </c:pt>
                <c:pt idx="8">
                  <c:v>900</c:v>
                </c:pt>
                <c:pt idx="9">
                  <c:v>150</c:v>
                </c:pt>
                <c:pt idx="10">
                  <c:v>220</c:v>
                </c:pt>
                <c:pt idx="11">
                  <c:v>180</c:v>
                </c:pt>
                <c:pt idx="12">
                  <c:v>700</c:v>
                </c:pt>
                <c:pt idx="13">
                  <c:v>900</c:v>
                </c:pt>
                <c:pt idx="14">
                  <c:v>3000</c:v>
                </c:pt>
                <c:pt idx="15">
                  <c:v>350</c:v>
                </c:pt>
                <c:pt idx="16">
                  <c:v>600</c:v>
                </c:pt>
                <c:pt idx="17">
                  <c:v>500</c:v>
                </c:pt>
                <c:pt idx="18">
                  <c:v>2500</c:v>
                </c:pt>
                <c:pt idx="19">
                  <c:v>200</c:v>
                </c:pt>
                <c:pt idx="20">
                  <c:v>4000</c:v>
                </c:pt>
                <c:pt idx="21">
                  <c:v>950</c:v>
                </c:pt>
                <c:pt idx="22">
                  <c:v>80</c:v>
                </c:pt>
                <c:pt idx="23">
                  <c:v>300</c:v>
                </c:pt>
                <c:pt idx="24">
                  <c:v>400</c:v>
                </c:pt>
                <c:pt idx="25">
                  <c:v>180</c:v>
                </c:pt>
                <c:pt idx="26">
                  <c:v>60</c:v>
                </c:pt>
                <c:pt idx="27">
                  <c:v>1800</c:v>
                </c:pt>
                <c:pt idx="28">
                  <c:v>420</c:v>
                </c:pt>
                <c:pt idx="29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54-401C-89D3-DAE9F5887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</xdr:colOff>
      <xdr:row>8</xdr:row>
      <xdr:rowOff>106680</xdr:rowOff>
    </xdr:from>
    <xdr:to>
      <xdr:col>15</xdr:col>
      <xdr:colOff>213360</xdr:colOff>
      <xdr:row>23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70C95D-7674-CB81-A069-B8DB66C4B5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C08AB8-3590-4F5C-B31D-ADC955B0FB0C}" name="Table1" displayName="Table1" ref="A1:E31" totalsRowShown="0" headerRowDxfId="26" dataDxfId="27">
  <autoFilter ref="A1:E31" xr:uid="{CEC08AB8-3590-4F5C-B31D-ADC955B0FB0C}"/>
  <tableColumns count="5">
    <tableColumn id="1" xr3:uid="{DC58AEE7-9086-485E-8E88-DCF4079BE169}" name="Date" dataDxfId="32"/>
    <tableColumn id="2" xr3:uid="{9A245395-6744-4BF8-9280-BFDE3C6AE35F}" name="Description" dataDxfId="31"/>
    <tableColumn id="3" xr3:uid="{F6A2DEB0-02D2-4CC1-AB3D-BE260F1F9C39}" name="Category" dataDxfId="30"/>
    <tableColumn id="4" xr3:uid="{5EF0D7CE-162B-4C45-9001-3DD448AB083F}" name="Type" dataDxfId="29"/>
    <tableColumn id="5" xr3:uid="{1B5312C0-AB81-4DB3-B910-6415250D18A0}" name="Amount" dataDxfId="28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6EA0F3-64FE-498E-89BC-7E726873E56E}" name="Table2" displayName="Table2" ref="A1:B9" totalsRowShown="0" headerRowDxfId="22" dataDxfId="23">
  <autoFilter ref="A1:B9" xr:uid="{F06EA0F3-64FE-498E-89BC-7E726873E56E}"/>
  <tableColumns count="2">
    <tableColumn id="1" xr3:uid="{C9AA69EF-E6E7-43E3-9662-F161D060C3FA}" name="Metric" dataDxfId="25"/>
    <tableColumn id="2" xr3:uid="{1A9C6653-89F4-47C2-9674-AD2366152518}" name="Value" dataDxfId="24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6C620D3-D6D0-4C91-B0FF-E056D9459556}" name="Table3" displayName="Table3" ref="A1:E7" totalsRowShown="0" headerRowDxfId="15" dataDxfId="16">
  <autoFilter ref="A1:E7" xr:uid="{66C620D3-D6D0-4C91-B0FF-E056D9459556}"/>
  <tableColumns count="5">
    <tableColumn id="1" xr3:uid="{10AC898E-65DD-4DB5-A256-6D2D9C52403C}" name="Category" dataDxfId="21"/>
    <tableColumn id="2" xr3:uid="{814F45A6-0669-4FE0-A8B6-C907661DC0BA}" name="Budget" dataDxfId="20">
      <calculatedColumnFormula>VLOOKUP(A2,lookup!A:B,2,FALSE)</calculatedColumnFormula>
    </tableColumn>
    <tableColumn id="3" xr3:uid="{8BC808A9-BD18-4EB5-BD7F-4ED703468B98}" name="Actual" dataDxfId="19">
      <calculatedColumnFormula>SUMIF(Transactions!C:C,A2,Transactions!E:E)</calculatedColumnFormula>
    </tableColumn>
    <tableColumn id="4" xr3:uid="{DBDF74E8-8925-445E-944A-321B43D102B4}" name="Difference" dataDxfId="18">
      <calculatedColumnFormula>B2-C2</calculatedColumnFormula>
    </tableColumn>
    <tableColumn id="5" xr3:uid="{B0E6E834-1E3C-442E-8C3B-4BFB36B0050F}" name="Status" dataDxfId="17">
      <calculatedColumnFormula>IF(C2&gt;B2,"Over","OK")</calculatedColumnFormula>
    </tableColumn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65B05CA-7250-474A-AA3C-35202A32C893}" name="Table4" displayName="Table4" ref="A1:B18" totalsRowShown="0" headerRowDxfId="11" dataDxfId="12">
  <autoFilter ref="A1:B18" xr:uid="{C65B05CA-7250-474A-AA3C-35202A32C893}"/>
  <tableColumns count="2">
    <tableColumn id="1" xr3:uid="{C0B2AD75-D6DD-4AEF-BF9F-8F9F9083CB4E}" name="Query" dataDxfId="14"/>
    <tableColumn id="2" xr3:uid="{560C6095-73E9-4117-8AA4-0AADFFD113D2}" name="Result" dataDxfId="13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BA6ECB-A583-4C97-BBBB-B5FF4D742A42}" name="Table5" displayName="Table5" ref="A1:B7" totalsRowShown="0" headerRowDxfId="7" dataDxfId="8">
  <autoFilter ref="A1:B7" xr:uid="{00BA6ECB-A583-4C97-BBBB-B5FF4D742A42}"/>
  <tableColumns count="2">
    <tableColumn id="1" xr3:uid="{2F0D0CBC-3A05-4407-9FF8-C82D9CF74AD1}" name="Category" dataDxfId="10"/>
    <tableColumn id="2" xr3:uid="{7BC0D6B2-1142-47D0-94E8-5F012F89649A}" name="Limit" dataDxfId="9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B690BA2-DB91-4371-ABE8-65B57E3E9083}" name="Table6" displayName="Table6" ref="A10:E12" totalsRowShown="0" headerRowDxfId="0" dataDxfId="1">
  <autoFilter ref="A10:E12" xr:uid="{5B690BA2-DB91-4371-ABE8-65B57E3E9083}"/>
  <tableColumns count="5">
    <tableColumn id="1" xr3:uid="{767088B8-B100-4546-96D7-35DBEC177442}" name="Type" dataDxfId="6"/>
    <tableColumn id="2" xr3:uid="{5F11BA66-2937-4137-A455-9D7FF9A42E01}" name="Jan" dataDxfId="5"/>
    <tableColumn id="3" xr3:uid="{18EA783B-D280-4177-8BDD-9FE4FD0C926D}" name="Feb" dataDxfId="4"/>
    <tableColumn id="4" xr3:uid="{07065370-F6A0-452E-9E82-5C3331036628}" name="Mar" dataDxfId="3"/>
    <tableColumn id="5" xr3:uid="{6715AFBA-CBA0-4337-ABB8-3A45820560D6}" name="Apr" dataDxfId="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2D947-3749-44B5-9A1D-DDE8974F5451}">
  <dimension ref="A1:E31"/>
  <sheetViews>
    <sheetView topLeftCell="A7" workbookViewId="0">
      <selection activeCell="I28" sqref="I28"/>
    </sheetView>
  </sheetViews>
  <sheetFormatPr defaultRowHeight="14.4"/>
  <cols>
    <col min="1" max="1" width="14.5546875" customWidth="1"/>
    <col min="2" max="3" width="14.88671875" customWidth="1"/>
    <col min="4" max="4" width="12.44140625" customWidth="1"/>
    <col min="5" max="5" width="12.1093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>
        <v>46113</v>
      </c>
      <c r="B2" s="3" t="s">
        <v>5</v>
      </c>
      <c r="C2" s="3" t="s">
        <v>6</v>
      </c>
      <c r="D2" s="3" t="s">
        <v>7</v>
      </c>
      <c r="E2" s="3">
        <v>120</v>
      </c>
    </row>
    <row r="3" spans="1:5">
      <c r="A3" s="4">
        <v>46114</v>
      </c>
      <c r="B3" s="3" t="s">
        <v>8</v>
      </c>
      <c r="C3" s="3" t="s">
        <v>9</v>
      </c>
      <c r="D3" s="3" t="s">
        <v>7</v>
      </c>
      <c r="E3" s="3">
        <v>50</v>
      </c>
    </row>
    <row r="4" spans="1:5">
      <c r="A4" s="4">
        <v>46115</v>
      </c>
      <c r="B4" s="3" t="s">
        <v>10</v>
      </c>
      <c r="C4" s="3" t="s">
        <v>11</v>
      </c>
      <c r="D4" s="3" t="s">
        <v>11</v>
      </c>
      <c r="E4" s="3">
        <v>15000</v>
      </c>
    </row>
    <row r="5" spans="1:5">
      <c r="A5" s="4">
        <v>46116</v>
      </c>
      <c r="B5" s="3" t="s">
        <v>12</v>
      </c>
      <c r="C5" s="3" t="s">
        <v>6</v>
      </c>
      <c r="D5" s="3" t="s">
        <v>7</v>
      </c>
      <c r="E5" s="3">
        <v>800</v>
      </c>
    </row>
    <row r="6" spans="1:5">
      <c r="A6" s="4">
        <v>46117</v>
      </c>
      <c r="B6" s="3" t="s">
        <v>13</v>
      </c>
      <c r="C6" s="3" t="s">
        <v>14</v>
      </c>
      <c r="D6" s="3" t="s">
        <v>7</v>
      </c>
      <c r="E6" s="3">
        <v>300</v>
      </c>
    </row>
    <row r="7" spans="1:5">
      <c r="A7" s="4">
        <v>46118</v>
      </c>
      <c r="B7" s="3" t="s">
        <v>15</v>
      </c>
      <c r="C7" s="3" t="s">
        <v>11</v>
      </c>
      <c r="D7" s="3" t="s">
        <v>11</v>
      </c>
      <c r="E7" s="3">
        <v>2000</v>
      </c>
    </row>
    <row r="8" spans="1:5">
      <c r="A8" s="4">
        <v>46119</v>
      </c>
      <c r="B8" s="3" t="s">
        <v>16</v>
      </c>
      <c r="C8" s="3" t="s">
        <v>16</v>
      </c>
      <c r="D8" s="3" t="s">
        <v>7</v>
      </c>
      <c r="E8" s="3">
        <v>1200</v>
      </c>
    </row>
    <row r="9" spans="1:5">
      <c r="A9" s="4">
        <v>46120</v>
      </c>
      <c r="B9" s="3" t="s">
        <v>17</v>
      </c>
      <c r="C9" s="3" t="s">
        <v>17</v>
      </c>
      <c r="D9" s="3" t="s">
        <v>7</v>
      </c>
      <c r="E9" s="3">
        <v>5000</v>
      </c>
    </row>
    <row r="10" spans="1:5">
      <c r="A10" s="4">
        <v>46121</v>
      </c>
      <c r="B10" s="3" t="s">
        <v>18</v>
      </c>
      <c r="C10" s="3" t="s">
        <v>19</v>
      </c>
      <c r="D10" s="3" t="s">
        <v>7</v>
      </c>
      <c r="E10" s="3">
        <v>900</v>
      </c>
    </row>
    <row r="11" spans="1:5">
      <c r="A11" s="4">
        <v>46122</v>
      </c>
      <c r="B11" s="3" t="s">
        <v>20</v>
      </c>
      <c r="C11" s="3" t="s">
        <v>6</v>
      </c>
      <c r="D11" s="3" t="s">
        <v>7</v>
      </c>
      <c r="E11" s="3">
        <v>150</v>
      </c>
    </row>
    <row r="12" spans="1:5">
      <c r="A12" s="4">
        <v>46123</v>
      </c>
      <c r="B12" s="3" t="s">
        <v>49</v>
      </c>
      <c r="C12" s="3" t="s">
        <v>9</v>
      </c>
      <c r="D12" s="3" t="s">
        <v>7</v>
      </c>
      <c r="E12" s="3">
        <v>220</v>
      </c>
    </row>
    <row r="13" spans="1:5">
      <c r="A13" s="4">
        <v>46124</v>
      </c>
      <c r="B13" s="3" t="s">
        <v>50</v>
      </c>
      <c r="C13" s="3" t="s">
        <v>6</v>
      </c>
      <c r="D13" s="3" t="s">
        <v>7</v>
      </c>
      <c r="E13" s="3">
        <v>180</v>
      </c>
    </row>
    <row r="14" spans="1:5">
      <c r="A14" s="4">
        <v>46125</v>
      </c>
      <c r="B14" s="3" t="s">
        <v>51</v>
      </c>
      <c r="C14" s="3" t="s">
        <v>19</v>
      </c>
      <c r="D14" s="3" t="s">
        <v>7</v>
      </c>
      <c r="E14" s="3">
        <v>700</v>
      </c>
    </row>
    <row r="15" spans="1:5">
      <c r="A15" s="4">
        <v>46126</v>
      </c>
      <c r="B15" s="3" t="s">
        <v>52</v>
      </c>
      <c r="C15" s="3" t="s">
        <v>16</v>
      </c>
      <c r="D15" s="3" t="s">
        <v>7</v>
      </c>
      <c r="E15" s="3">
        <v>900</v>
      </c>
    </row>
    <row r="16" spans="1:5">
      <c r="A16" s="4">
        <v>46127</v>
      </c>
      <c r="B16" s="3" t="s">
        <v>53</v>
      </c>
      <c r="C16" s="3" t="s">
        <v>11</v>
      </c>
      <c r="D16" s="3" t="s">
        <v>11</v>
      </c>
      <c r="E16" s="3">
        <v>3000</v>
      </c>
    </row>
    <row r="17" spans="1:5">
      <c r="A17" s="4">
        <v>46128</v>
      </c>
      <c r="B17" s="3" t="s">
        <v>54</v>
      </c>
      <c r="C17" s="3" t="s">
        <v>6</v>
      </c>
      <c r="D17" s="3" t="s">
        <v>7</v>
      </c>
      <c r="E17" s="3">
        <v>350</v>
      </c>
    </row>
    <row r="18" spans="1:5">
      <c r="A18" s="4">
        <v>46129</v>
      </c>
      <c r="B18" s="3" t="s">
        <v>55</v>
      </c>
      <c r="C18" s="3" t="s">
        <v>9</v>
      </c>
      <c r="D18" s="3" t="s">
        <v>7</v>
      </c>
      <c r="E18" s="3">
        <v>600</v>
      </c>
    </row>
    <row r="19" spans="1:5">
      <c r="A19" s="4">
        <v>46130</v>
      </c>
      <c r="B19" s="3" t="s">
        <v>56</v>
      </c>
      <c r="C19" s="3" t="s">
        <v>19</v>
      </c>
      <c r="D19" s="3" t="s">
        <v>7</v>
      </c>
      <c r="E19" s="3">
        <v>500</v>
      </c>
    </row>
    <row r="20" spans="1:5">
      <c r="A20" s="4">
        <v>46131</v>
      </c>
      <c r="B20" s="3" t="s">
        <v>57</v>
      </c>
      <c r="C20" s="3" t="s">
        <v>16</v>
      </c>
      <c r="D20" s="3" t="s">
        <v>7</v>
      </c>
      <c r="E20" s="3">
        <v>2500</v>
      </c>
    </row>
    <row r="21" spans="1:5">
      <c r="A21" s="4">
        <v>46132</v>
      </c>
      <c r="B21" s="3" t="s">
        <v>5</v>
      </c>
      <c r="C21" s="3" t="s">
        <v>6</v>
      </c>
      <c r="D21" s="3" t="s">
        <v>7</v>
      </c>
      <c r="E21" s="3">
        <v>200</v>
      </c>
    </row>
    <row r="22" spans="1:5">
      <c r="A22" s="4">
        <v>46133</v>
      </c>
      <c r="B22" s="3" t="s">
        <v>58</v>
      </c>
      <c r="C22" s="3" t="s">
        <v>11</v>
      </c>
      <c r="D22" s="3" t="s">
        <v>11</v>
      </c>
      <c r="E22" s="3">
        <v>4000</v>
      </c>
    </row>
    <row r="23" spans="1:5">
      <c r="A23" s="4">
        <v>46134</v>
      </c>
      <c r="B23" s="3" t="s">
        <v>12</v>
      </c>
      <c r="C23" s="3" t="s">
        <v>6</v>
      </c>
      <c r="D23" s="3" t="s">
        <v>7</v>
      </c>
      <c r="E23" s="3">
        <v>950</v>
      </c>
    </row>
    <row r="24" spans="1:5">
      <c r="A24" s="4">
        <v>46135</v>
      </c>
      <c r="B24" s="3" t="s">
        <v>59</v>
      </c>
      <c r="C24" s="3" t="s">
        <v>9</v>
      </c>
      <c r="D24" s="3" t="s">
        <v>7</v>
      </c>
      <c r="E24" s="3">
        <v>80</v>
      </c>
    </row>
    <row r="25" spans="1:5">
      <c r="A25" s="4">
        <v>46136</v>
      </c>
      <c r="B25" s="3" t="s">
        <v>60</v>
      </c>
      <c r="C25" s="3" t="s">
        <v>19</v>
      </c>
      <c r="D25" s="3" t="s">
        <v>7</v>
      </c>
      <c r="E25" s="3">
        <v>300</v>
      </c>
    </row>
    <row r="26" spans="1:5">
      <c r="A26" s="4">
        <v>46137</v>
      </c>
      <c r="B26" s="3" t="s">
        <v>13</v>
      </c>
      <c r="C26" s="3" t="s">
        <v>14</v>
      </c>
      <c r="D26" s="3" t="s">
        <v>7</v>
      </c>
      <c r="E26" s="3">
        <v>400</v>
      </c>
    </row>
    <row r="27" spans="1:5">
      <c r="A27" s="4">
        <v>46138</v>
      </c>
      <c r="B27" s="3" t="s">
        <v>5</v>
      </c>
      <c r="C27" s="3" t="s">
        <v>6</v>
      </c>
      <c r="D27" s="3" t="s">
        <v>7</v>
      </c>
      <c r="E27" s="3">
        <v>180</v>
      </c>
    </row>
    <row r="28" spans="1:5">
      <c r="A28" s="4">
        <v>46139</v>
      </c>
      <c r="B28" s="3" t="s">
        <v>8</v>
      </c>
      <c r="C28" s="3" t="s">
        <v>9</v>
      </c>
      <c r="D28" s="3" t="s">
        <v>7</v>
      </c>
      <c r="E28" s="3">
        <v>60</v>
      </c>
    </row>
    <row r="29" spans="1:5">
      <c r="A29" s="4">
        <v>46140</v>
      </c>
      <c r="B29" s="3" t="s">
        <v>61</v>
      </c>
      <c r="C29" s="3" t="s">
        <v>16</v>
      </c>
      <c r="D29" s="3" t="s">
        <v>7</v>
      </c>
      <c r="E29" s="3">
        <v>1800</v>
      </c>
    </row>
    <row r="30" spans="1:5">
      <c r="A30" s="4">
        <v>46141</v>
      </c>
      <c r="B30" s="3" t="s">
        <v>54</v>
      </c>
      <c r="C30" s="3" t="s">
        <v>6</v>
      </c>
      <c r="D30" s="3" t="s">
        <v>7</v>
      </c>
      <c r="E30" s="3">
        <v>420</v>
      </c>
    </row>
    <row r="31" spans="1:5">
      <c r="A31" s="4">
        <v>46142</v>
      </c>
      <c r="B31" s="3" t="s">
        <v>15</v>
      </c>
      <c r="C31" s="3" t="s">
        <v>11</v>
      </c>
      <c r="D31" s="3" t="s">
        <v>11</v>
      </c>
      <c r="E31" s="3">
        <v>2500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93EA5-327D-424B-91B1-5CA02533EAB9}">
  <dimension ref="A1:B9"/>
  <sheetViews>
    <sheetView workbookViewId="0">
      <selection activeCell="F11" sqref="F11"/>
    </sheetView>
  </sheetViews>
  <sheetFormatPr defaultRowHeight="14.4"/>
  <cols>
    <col min="1" max="1" width="19.77734375" customWidth="1"/>
  </cols>
  <sheetData>
    <row r="1" spans="1:2">
      <c r="A1" s="3" t="s">
        <v>24</v>
      </c>
      <c r="B1" s="3" t="s">
        <v>25</v>
      </c>
    </row>
    <row r="2" spans="1:2">
      <c r="A2" s="3" t="s">
        <v>21</v>
      </c>
      <c r="B2" s="3">
        <f>SUMIF(Transactions!D:D,"Income",Transactions!E:E)</f>
        <v>26500</v>
      </c>
    </row>
    <row r="3" spans="1:2">
      <c r="A3" s="3" t="s">
        <v>22</v>
      </c>
      <c r="B3" s="3">
        <f>SUMIF(Transactions!D:D,"Expense",Transactions!E:E)</f>
        <v>18860</v>
      </c>
    </row>
    <row r="4" spans="1:2">
      <c r="A4" s="3" t="s">
        <v>23</v>
      </c>
      <c r="B4" s="3">
        <f>B2-B3</f>
        <v>7640</v>
      </c>
    </row>
    <row r="5" spans="1:2">
      <c r="A5" s="3" t="s">
        <v>46</v>
      </c>
      <c r="B5" s="3">
        <f>AVERAGEIF(Transactions!D:D,"Expense",Transactions!E:E)</f>
        <v>754.4</v>
      </c>
    </row>
    <row r="6" spans="1:2">
      <c r="A6" s="3" t="s">
        <v>26</v>
      </c>
      <c r="B6" s="3">
        <f>COUNTA(Transactions!A:A)-1</f>
        <v>30</v>
      </c>
    </row>
    <row r="7" spans="1:2">
      <c r="A7" s="3" t="s">
        <v>27</v>
      </c>
      <c r="B7" s="3">
        <f>_xlfn.MAXIFS(Transactions!E:E,Transactions!D:D,"Expense")</f>
        <v>5000</v>
      </c>
    </row>
    <row r="8" spans="1:2">
      <c r="A8" s="3" t="s">
        <v>28</v>
      </c>
      <c r="B8" s="3">
        <f>_xlfn.MINIFS(Transactions!E:E,Transactions!D:D,"Expense")</f>
        <v>50</v>
      </c>
    </row>
    <row r="9" spans="1:2">
      <c r="A9" s="3" t="s">
        <v>39</v>
      </c>
      <c r="B9" s="3">
        <f>(B2-B3)/B2</f>
        <v>0.28830188679245283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DBA5C-3D1C-4D4F-961C-F83C0BBB980E}">
  <dimension ref="A1:E7"/>
  <sheetViews>
    <sheetView workbookViewId="0">
      <selection activeCell="F12" sqref="F12"/>
    </sheetView>
  </sheetViews>
  <sheetFormatPr defaultRowHeight="14.4"/>
  <cols>
    <col min="1" max="1" width="10" customWidth="1"/>
    <col min="4" max="4" width="11.33203125" customWidth="1"/>
  </cols>
  <sheetData>
    <row r="1" spans="1:5">
      <c r="A1" s="3" t="s">
        <v>2</v>
      </c>
      <c r="B1" s="3" t="s">
        <v>29</v>
      </c>
      <c r="C1" s="3" t="s">
        <v>30</v>
      </c>
      <c r="D1" s="3" t="s">
        <v>31</v>
      </c>
      <c r="E1" s="3" t="s">
        <v>32</v>
      </c>
    </row>
    <row r="2" spans="1:5">
      <c r="A2" s="3" t="s">
        <v>6</v>
      </c>
      <c r="B2" s="3">
        <f>VLOOKUP(A2,lookup!A:B,2,FALSE)</f>
        <v>4000</v>
      </c>
      <c r="C2" s="3">
        <f>SUMIF(Transactions!C:C,A2,Transactions!E:E)</f>
        <v>3350</v>
      </c>
      <c r="D2" s="3">
        <f>B2-C2</f>
        <v>650</v>
      </c>
      <c r="E2" s="3" t="str">
        <f>IF(C2&gt;B2,"Over","OK")</f>
        <v>OK</v>
      </c>
    </row>
    <row r="3" spans="1:5">
      <c r="A3" s="3" t="s">
        <v>9</v>
      </c>
      <c r="B3" s="3">
        <f>VLOOKUP(A3,lookup!A:B,2,FALSE)</f>
        <v>2000</v>
      </c>
      <c r="C3" s="3">
        <f>SUMIF(Transactions!C:C,A3,Transactions!E:E)</f>
        <v>1010</v>
      </c>
      <c r="D3" s="3">
        <f>B3-C3</f>
        <v>990</v>
      </c>
      <c r="E3" s="3" t="str">
        <f>IF(C3&gt;B3,"Over","OK")</f>
        <v>OK</v>
      </c>
    </row>
    <row r="4" spans="1:5">
      <c r="A4" s="3" t="s">
        <v>16</v>
      </c>
      <c r="B4" s="3">
        <f>VLOOKUP(A4,lookup!A:B,2,FALSE)</f>
        <v>4000</v>
      </c>
      <c r="C4" s="3">
        <f>SUMIF(Transactions!C:C,A4,Transactions!E:E)</f>
        <v>6400</v>
      </c>
      <c r="D4" s="3">
        <f>B4-C4</f>
        <v>-2400</v>
      </c>
      <c r="E4" s="3" t="str">
        <f>IF(C4&gt;B4,"Over","OK")</f>
        <v>Over</v>
      </c>
    </row>
    <row r="5" spans="1:5">
      <c r="A5" s="3" t="s">
        <v>17</v>
      </c>
      <c r="B5" s="3">
        <f>VLOOKUP(A5,lookup!A:B,2,FALSE)</f>
        <v>6000</v>
      </c>
      <c r="C5" s="3">
        <f>SUMIF(Transactions!C:C,A5,Transactions!E:E)</f>
        <v>5000</v>
      </c>
      <c r="D5" s="3">
        <f>B5-C5</f>
        <v>1000</v>
      </c>
      <c r="E5" s="3" t="str">
        <f>IF(C5&gt;B5,"Over","OK")</f>
        <v>OK</v>
      </c>
    </row>
    <row r="6" spans="1:5">
      <c r="A6" s="3" t="s">
        <v>19</v>
      </c>
      <c r="B6" s="3">
        <f>VLOOKUP(A6,lookup!A:B,2,FALSE)</f>
        <v>3000</v>
      </c>
      <c r="C6" s="3">
        <f>SUMIF(Transactions!C:C,A6,Transactions!E:E)</f>
        <v>2400</v>
      </c>
      <c r="D6" s="3">
        <f>B6-C6</f>
        <v>600</v>
      </c>
      <c r="E6" s="3" t="str">
        <f>IF(C6&gt;B6,"Over","OK")</f>
        <v>OK</v>
      </c>
    </row>
    <row r="7" spans="1:5">
      <c r="A7" s="3" t="s">
        <v>14</v>
      </c>
      <c r="B7" s="3">
        <f>VLOOKUP(A7,lookup!A:B,2,FALSE)</f>
        <v>2000</v>
      </c>
      <c r="C7" s="3">
        <f>SUMIF(Transactions!C:C,A7,Transactions!E:E)</f>
        <v>700</v>
      </c>
      <c r="D7" s="3">
        <f>B7-C7</f>
        <v>1300</v>
      </c>
      <c r="E7" s="3" t="str">
        <f>IF(C7&gt;B7,"Over","OK")</f>
        <v>OK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0AB0-EA39-4FE3-BA75-1A147E18903D}">
  <dimension ref="A1:B18"/>
  <sheetViews>
    <sheetView showFormulas="1" workbookViewId="0">
      <selection activeCell="C18" sqref="C18"/>
    </sheetView>
  </sheetViews>
  <sheetFormatPr defaultRowHeight="14.4"/>
  <cols>
    <col min="1" max="1" width="16.44140625" customWidth="1"/>
    <col min="2" max="2" width="26.6640625" customWidth="1"/>
  </cols>
  <sheetData>
    <row r="1" spans="1:2">
      <c r="A1" s="3" t="s">
        <v>33</v>
      </c>
      <c r="B1" s="3" t="s">
        <v>62</v>
      </c>
    </row>
    <row r="2" spans="1:2">
      <c r="A2" s="3" t="s">
        <v>34</v>
      </c>
      <c r="B2" s="3">
        <f>SUMIF(Transactions!C:C,"Food",Transactions!E:E)</f>
        <v>3350</v>
      </c>
    </row>
    <row r="3" spans="1:2">
      <c r="A3" s="3" t="s">
        <v>35</v>
      </c>
      <c r="B3" s="3">
        <f>SUMIF(Transactions!C:C,"Travel",Transactions!E:E)</f>
        <v>1010</v>
      </c>
    </row>
    <row r="4" spans="1:2">
      <c r="A4" s="3" t="s">
        <v>36</v>
      </c>
      <c r="B4" s="3">
        <f>SUMIF(Transactions!C:C,"Shopping",Transactions!E:E)</f>
        <v>6400</v>
      </c>
    </row>
    <row r="5" spans="1:2">
      <c r="A5" s="3" t="s">
        <v>37</v>
      </c>
      <c r="B5" s="3">
        <f>SUMIF(Transactions!D:D,"Income",Transactions!E:E)</f>
        <v>26500</v>
      </c>
    </row>
    <row r="6" spans="1:2">
      <c r="A6" s="3" t="s">
        <v>38</v>
      </c>
      <c r="B6" s="3">
        <f>SUMIF(Transactions!D:D,"Expense",Transactions!E:E)</f>
        <v>18860</v>
      </c>
    </row>
    <row r="7" spans="1:2">
      <c r="A7" s="3" t="s">
        <v>39</v>
      </c>
      <c r="B7" s="3">
        <f>(summary!B2-summary!B3)/summary!B2</f>
        <v>0.28830188679245283</v>
      </c>
    </row>
    <row r="8" spans="1:2">
      <c r="A8" s="3" t="s">
        <v>40</v>
      </c>
      <c r="B8" s="3">
        <f>MAX(Transactions!E:E)</f>
        <v>15000</v>
      </c>
    </row>
    <row r="9" spans="1:2">
      <c r="A9" s="3" t="s">
        <v>41</v>
      </c>
      <c r="B9" s="3">
        <f>MIN(Transactions!E:E)</f>
        <v>50</v>
      </c>
    </row>
    <row r="10" spans="1:2">
      <c r="A10" s="3" t="s">
        <v>42</v>
      </c>
      <c r="B10" s="3">
        <f>COUNTA(Transactions!A:A)-1</f>
        <v>30</v>
      </c>
    </row>
    <row r="11" spans="1:2">
      <c r="A11" s="3" t="s">
        <v>43</v>
      </c>
      <c r="B11" s="3">
        <f>COUNTIF(Transactions!C:C,"Food")</f>
        <v>9</v>
      </c>
    </row>
    <row r="12" spans="1:2">
      <c r="A12" s="3" t="s">
        <v>44</v>
      </c>
      <c r="B12" s="3">
        <f>COUNTIF(Transactions!D:D,"Expense")</f>
        <v>25</v>
      </c>
    </row>
    <row r="13" spans="1:2">
      <c r="A13" s="3" t="s">
        <v>45</v>
      </c>
      <c r="B13" s="3">
        <f>COUNTIF(Transactions!D:D,"Income")</f>
        <v>5</v>
      </c>
    </row>
    <row r="14" spans="1:2">
      <c r="A14" s="3" t="s">
        <v>46</v>
      </c>
      <c r="B14" s="3">
        <f>AVERAGEIF(Transactions!D:D,"Expense",Transactions!E:E)</f>
        <v>754.4</v>
      </c>
    </row>
    <row r="15" spans="1:2">
      <c r="A15" s="3" t="s">
        <v>47</v>
      </c>
      <c r="B15" s="3">
        <f>SUMIF(Transactions!C:C,"Rent",Transactions!E:E)</f>
        <v>5000</v>
      </c>
    </row>
    <row r="16" spans="1:2">
      <c r="A16" s="3" t="s">
        <v>48</v>
      </c>
      <c r="B16" s="3">
        <f>SUMIF(Transactions!C:C,"Bills",Transactions!E:E)</f>
        <v>2400</v>
      </c>
    </row>
    <row r="17" spans="1:2">
      <c r="A17" s="3" t="s">
        <v>68</v>
      </c>
      <c r="B17" s="1" t="e">
        <f>HLOOKUP("Income",lookup!A10:E12,5,FALSE)</f>
        <v>#N/A</v>
      </c>
    </row>
    <row r="18" spans="1:2">
      <c r="A18" s="3"/>
      <c r="B18" s="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221E0-90E9-4E93-A1B6-280CF8676F57}">
  <dimension ref="A1:E12"/>
  <sheetViews>
    <sheetView tabSelected="1" workbookViewId="0">
      <selection activeCell="J14" sqref="J14"/>
    </sheetView>
  </sheetViews>
  <sheetFormatPr defaultRowHeight="14.4"/>
  <cols>
    <col min="1" max="1" width="10" customWidth="1"/>
  </cols>
  <sheetData>
    <row r="1" spans="1:5">
      <c r="A1" s="3" t="s">
        <v>2</v>
      </c>
      <c r="B1" s="3" t="s">
        <v>63</v>
      </c>
    </row>
    <row r="2" spans="1:5">
      <c r="A2" s="3" t="s">
        <v>6</v>
      </c>
      <c r="B2" s="3">
        <v>4000</v>
      </c>
    </row>
    <row r="3" spans="1:5">
      <c r="A3" s="3" t="s">
        <v>9</v>
      </c>
      <c r="B3" s="3">
        <v>2000</v>
      </c>
    </row>
    <row r="4" spans="1:5">
      <c r="A4" s="3" t="s">
        <v>16</v>
      </c>
      <c r="B4" s="3">
        <v>4000</v>
      </c>
    </row>
    <row r="5" spans="1:5">
      <c r="A5" s="3" t="s">
        <v>17</v>
      </c>
      <c r="B5" s="3">
        <v>6000</v>
      </c>
    </row>
    <row r="6" spans="1:5">
      <c r="A6" s="3" t="s">
        <v>19</v>
      </c>
      <c r="B6" s="3">
        <v>3000</v>
      </c>
    </row>
    <row r="7" spans="1:5">
      <c r="A7" s="3" t="s">
        <v>14</v>
      </c>
      <c r="B7" s="3">
        <v>2000</v>
      </c>
    </row>
    <row r="10" spans="1:5">
      <c r="A10" s="3" t="s">
        <v>3</v>
      </c>
      <c r="B10" s="3" t="s">
        <v>64</v>
      </c>
      <c r="C10" s="3" t="s">
        <v>65</v>
      </c>
      <c r="D10" s="3" t="s">
        <v>66</v>
      </c>
      <c r="E10" s="3" t="s">
        <v>67</v>
      </c>
    </row>
    <row r="11" spans="1:5">
      <c r="A11" s="3" t="s">
        <v>11</v>
      </c>
      <c r="B11" s="3">
        <v>20000</v>
      </c>
      <c r="C11" s="3">
        <v>22000</v>
      </c>
      <c r="D11" s="3">
        <v>24000</v>
      </c>
      <c r="E11" s="3">
        <v>26000</v>
      </c>
    </row>
    <row r="12" spans="1:5">
      <c r="A12" s="3" t="s">
        <v>7</v>
      </c>
      <c r="B12" s="3">
        <v>15000</v>
      </c>
      <c r="C12" s="3">
        <v>16000</v>
      </c>
      <c r="D12" s="3">
        <v>18000</v>
      </c>
      <c r="E12" s="3">
        <v>20000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Transactions</vt:lpstr>
      <vt:lpstr>summary</vt:lpstr>
      <vt:lpstr>budget</vt:lpstr>
      <vt:lpstr>extra quiries</vt:lpstr>
      <vt:lpstr>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shlok kakkar</dc:creator>
  <cp:lastModifiedBy>shlok kakkar</cp:lastModifiedBy>
  <dcterms:created xsi:type="dcterms:W3CDTF">2026-04-19T13:45:28Z</dcterms:created>
  <dcterms:modified xsi:type="dcterms:W3CDTF">2026-04-19T14:36:26Z</dcterms:modified>
</cp:coreProperties>
</file>